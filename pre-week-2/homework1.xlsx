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202300"/>
  <mc:AlternateContent xmlns:mc="http://schemas.openxmlformats.org/markup-compatibility/2006">
    <mc:Choice Requires="x15">
      <x15ac:absPath xmlns:x15ac="http://schemas.microsoft.com/office/spreadsheetml/2010/11/ac" url="C:\Users\faizkhan\Documents\DataAnalytics\pre-week-2\"/>
    </mc:Choice>
  </mc:AlternateContent>
  <xr:revisionPtr revIDLastSave="0" documentId="13_ncr:9_{E44231E6-8300-456F-833B-333526226135}" xr6:coauthVersionLast="47" xr6:coauthVersionMax="47" xr10:uidLastSave="{00000000-0000-0000-0000-000000000000}"/>
  <bookViews>
    <workbookView xWindow="-108" yWindow="-108" windowWidth="23256" windowHeight="12456" activeTab="1" xr2:uid="{5B3E5A77-3D6A-4D57-B253-03433E6298A0}"/>
  </bookViews>
  <sheets>
    <sheet name="Store_Data" sheetId="1" r:id="rId1"/>
    <sheet name="Store_Summary" sheetId="2" r:id="rId2"/>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purl.oclc.org/ooxml/spreadsheetml/main">
  <c r="E8" i="1" l="1"/>
  <c r="E7" i="1"/>
  <c r="E6" i="1"/>
  <c r="E5" i="1"/>
  <c r="E4" i="1"/>
  <c r="E3" i="1"/>
  <c r="E2" i="1"/>
</calcChain>
</file>

<file path=xl/sharedStrings.xml><?xml version="1.0" encoding="utf-8"?>
<sst xmlns="http://purl.oclc.org/ooxml/spreadsheetml/main" count="24" uniqueCount="24">
  <si>
    <t>Store</t>
  </si>
  <si>
    <t>Monthly Sales</t>
  </si>
  <si>
    <t>Store A</t>
  </si>
  <si>
    <t>Store B</t>
  </si>
  <si>
    <t>Store C</t>
  </si>
  <si>
    <t>Store E</t>
  </si>
  <si>
    <t>Store F</t>
  </si>
  <si>
    <t>Store G</t>
  </si>
  <si>
    <t>Store H</t>
  </si>
  <si>
    <t>Store I</t>
  </si>
  <si>
    <t>Store J</t>
  </si>
  <si>
    <t>Store K</t>
  </si>
  <si>
    <t>Store L</t>
  </si>
  <si>
    <t>Store D</t>
  </si>
  <si>
    <t>Mean</t>
  </si>
  <si>
    <t>Median</t>
  </si>
  <si>
    <t>Mode</t>
  </si>
  <si>
    <t>Range</t>
  </si>
  <si>
    <t>Calculation</t>
  </si>
  <si>
    <t>Values</t>
  </si>
  <si>
    <t>Standard
Deviation</t>
  </si>
  <si>
    <t>Standard
Deviation 
Without H</t>
  </si>
  <si>
    <t>Mean
Without H</t>
  </si>
  <si>
    <t xml:space="preserve">The overall average preformance is roughly 49,000,000. The sales vary from a low 43,000,000 to a high of 72,000,000. This provided us with a range of 29,000,000 amongst all the stores. The store preformances were mostly grouped up, with the exception of store H. However, when store H is discarded from our average, our calculation will only drop down by 2,000,000. This shows that store H's presence only has a small impact on the average. Store H did have a signifigant effect on our standard deviation. With store H, our standard deviation is 7,600,000, and without store H our standard deviation is 2,900,000. It would have been quite useful to be provided the location of all these sites, as that could signify store H's high preformance, or it could highlight store H's management and staff.  Overall, the average preformance of the stores is even, and store H's high numbers spreads out the data.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</si>
</sst>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start/>
      <end/>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0284-03FC-40A5-BF71-16885DFAAC34}">
  <dimension ref="A1:E13"/>
  <sheetViews>
    <sheetView workbookViewId="0">
      <selection activeCell="E9" sqref="E9"/>
    </sheetView>
  </sheetViews>
  <sheetFormatPr defaultRowHeight="13.8"/>
  <cols>
    <col min="2" max="2" width="12.19921875" customWidth="1"/>
    <col min="4" max="4" width="9.5" customWidth="1"/>
  </cols>
  <sheetData>
    <row r="1" spans="1:5">
      <c r="A1" t="s">
        <v>0</v>
      </c>
      <c r="B1" t="s">
        <v>1</v>
      </c>
      <c r="D1" t="s">
        <v>18</v>
      </c>
      <c r="E1" t="s">
        <v>19</v>
      </c>
    </row>
    <row r="2" spans="1:5">
      <c r="A2" t="s">
        <v>2</v>
      </c>
      <c r="B2">
        <v>51</v>
      </c>
      <c r="D2" t="s">
        <v>14</v>
      </c>
      <c r="E2">
        <f>AVERAGE(B2:B13)</f>
        <v>49.416666666666664</v>
      </c>
    </row>
    <row r="3" spans="1:5">
      <c r="A3" t="s">
        <v>3</v>
      </c>
      <c r="B3">
        <v>44</v>
      </c>
      <c r="D3" t="s">
        <v>15</v>
      </c>
      <c r="E3">
        <f>MEDIAN(B2:B13)</f>
        <v>47.5</v>
      </c>
    </row>
    <row r="4" spans="1:5">
      <c r="A4" t="s">
        <v>4</v>
      </c>
      <c r="B4">
        <v>49</v>
      </c>
      <c r="D4" t="s">
        <v>16</v>
      </c>
      <c r="E4">
        <f>MODE(B2:B13)</f>
        <v>46</v>
      </c>
    </row>
    <row r="5" spans="1:5">
      <c r="A5" t="s">
        <v>13</v>
      </c>
      <c r="B5">
        <v>46</v>
      </c>
      <c r="D5" t="s">
        <v>17</v>
      </c>
      <c r="E5">
        <f>MAX(B2:B13)-MIN(B2:B13)</f>
        <v>29</v>
      </c>
    </row>
    <row r="6" spans="1:5" ht="27.6">
      <c r="A6" t="s">
        <v>5</v>
      </c>
      <c r="B6">
        <v>52</v>
      </c>
      <c r="D6" s="1" t="s">
        <v>20</v>
      </c>
      <c r="E6">
        <f>_xlfn.STDEV.S(B2:B13)</f>
        <v>7.6331613054586773</v>
      </c>
    </row>
    <row r="7" spans="1:5" ht="41.4">
      <c r="A7" t="s">
        <v>6</v>
      </c>
      <c r="B7">
        <v>47</v>
      </c>
      <c r="D7" s="1" t="s">
        <v>21</v>
      </c>
      <c r="E7">
        <f>_xlfn.STDEV.S(B2:B8,B10:B13)</f>
        <v>2.9076701075853588</v>
      </c>
    </row>
    <row r="8" spans="1:5" ht="27.6">
      <c r="A8" t="s">
        <v>7</v>
      </c>
      <c r="B8">
        <v>45</v>
      </c>
      <c r="D8" s="1" t="s">
        <v>22</v>
      </c>
      <c r="E8">
        <f>AVERAGE(B2:B8,B10:B13)</f>
        <v>47.363636363636367</v>
      </c>
    </row>
    <row r="9" spans="1:5">
      <c r="A9" t="s">
        <v>8</v>
      </c>
      <c r="B9">
        <v>72</v>
      </c>
    </row>
    <row r="10" spans="1:5">
      <c r="A10" t="s">
        <v>9</v>
      </c>
      <c r="B10">
        <v>43</v>
      </c>
    </row>
    <row r="11" spans="1:5">
      <c r="A11" t="s">
        <v>10</v>
      </c>
      <c r="B11">
        <v>48</v>
      </c>
    </row>
    <row r="12" spans="1:5">
      <c r="A12" t="s">
        <v>11</v>
      </c>
      <c r="B12">
        <v>46</v>
      </c>
    </row>
    <row r="13" spans="1:5">
      <c r="A13" t="s">
        <v>12</v>
      </c>
      <c r="B13">
        <v>50</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31E4-275F-42C7-ABB7-E73D63616097}">
  <dimension ref="A1"/>
  <sheetViews>
    <sheetView tabSelected="1" workbookViewId="0">
      <selection activeCell="A6" sqref="A6"/>
    </sheetView>
  </sheetViews>
  <sheetFormatPr defaultRowHeight="13.8"/>
  <cols>
    <col min="1" max="1" width="100.19921875" customWidth="1"/>
  </cols>
  <sheetData>
    <row r="1" spans="1:1" ht="123.6" customHeight="1">
      <c r="A1" s="1" t="s">
        <v>23</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 khan</dc:creator>
  <cp:lastModifiedBy>faiz khan</cp:lastModifiedBy>
  <dcterms:created xsi:type="dcterms:W3CDTF">2026-10-06T05:53:52Z</dcterms:created>
  <dcterms:modified xsi:type="dcterms:W3CDTF">2026-10-06T18:08:52Z</dcterms:modified>
</cp:coreProperties>
</file>